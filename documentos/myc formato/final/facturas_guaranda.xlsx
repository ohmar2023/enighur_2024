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6BA1D31-5C7F-4746-A5C1-7FD7AC47BFFF}" xr6:coauthVersionLast="47" xr6:coauthVersionMax="47" xr10:uidLastSave="{00000000-0000-0000-0000-000000000000}"/>
  <bookViews>
    <workbookView xWindow="-120" yWindow="-120" windowWidth="20730" windowHeight="11160" xr2:uid="{747DB10D-FCFC-4057-9D8C-45C53DE9B37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1" l="1"/>
  <c r="D13" i="1"/>
  <c r="B13" i="1"/>
  <c r="B9" i="1"/>
  <c r="C7" i="1"/>
  <c r="F7" i="1"/>
  <c r="I7" i="1"/>
  <c r="L7" i="1"/>
  <c r="O7" i="1"/>
  <c r="R7" i="1"/>
  <c r="AD7" i="1"/>
  <c r="AA7" i="1"/>
  <c r="X7" i="1"/>
  <c r="U7" i="1"/>
</calcChain>
</file>

<file path=xl/sharedStrings.xml><?xml version="1.0" encoding="utf-8"?>
<sst xmlns="http://schemas.openxmlformats.org/spreadsheetml/2006/main" count="32" uniqueCount="31">
  <si>
    <t>20_1</t>
  </si>
  <si>
    <t>20_2</t>
  </si>
  <si>
    <t>20_3</t>
  </si>
  <si>
    <t>21_1</t>
  </si>
  <si>
    <t>21_2</t>
  </si>
  <si>
    <t>21_3</t>
  </si>
  <si>
    <t>21_4</t>
  </si>
  <si>
    <t>22_1</t>
  </si>
  <si>
    <t>22_2</t>
  </si>
  <si>
    <t>23_1</t>
  </si>
  <si>
    <t>23_2</t>
  </si>
  <si>
    <t>24_1</t>
  </si>
  <si>
    <t>24_2</t>
  </si>
  <si>
    <t>25_1</t>
  </si>
  <si>
    <t>26_1</t>
  </si>
  <si>
    <t>26_2</t>
  </si>
  <si>
    <t>26_3</t>
  </si>
  <si>
    <t>26_4</t>
  </si>
  <si>
    <t>26_5</t>
  </si>
  <si>
    <t>27_1</t>
  </si>
  <si>
    <t>28_1</t>
  </si>
  <si>
    <t>29_1</t>
  </si>
  <si>
    <t>29_2</t>
  </si>
  <si>
    <t>29_3</t>
  </si>
  <si>
    <t>29_4</t>
  </si>
  <si>
    <t>28_2</t>
  </si>
  <si>
    <t>TOTAL</t>
  </si>
  <si>
    <t>TOTAL FACTURAS</t>
  </si>
  <si>
    <t>HOTEL 1</t>
  </si>
  <si>
    <t>HOTEL 2</t>
  </si>
  <si>
    <t>FALATANTE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</si>
</sst>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14" fontId="0" fillId="2" borderId="1" xfId="0" applyNumberFormat="1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2" fontId="0" fillId="4" borderId="1" xfId="0" applyNumberFormat="1" applyFill="1" applyBorder="1" applyAlignment="1">
      <alignment horizontal="center"/>
    </xf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4C61A-0F07-4CD1-B485-280B68379AB2}">
  <dimension ref="A1:AD14"/>
  <sheetViews>
    <sheetView tabSelected="1" workbookViewId="0">
      <selection activeCell="D13" sqref="D13"/>
    </sheetView>
  </sheetViews>
  <sheetFormatPr baseColWidth="10" defaultRowHeight="15" x14ac:dyDescent="0.25"/>
  <cols>
    <col min="1" max="1" width="15.7109375" bestFit="1" customWidth="1"/>
  </cols>
  <sheetData>
    <row r="1" spans="1:30" x14ac:dyDescent="0.25">
      <c r="A1" s="3">
        <v>45524</v>
      </c>
      <c r="B1" s="3"/>
      <c r="C1" s="3"/>
      <c r="D1" s="3">
        <v>45525</v>
      </c>
      <c r="E1" s="3"/>
      <c r="F1" s="3"/>
      <c r="G1" s="3">
        <v>45526</v>
      </c>
      <c r="H1" s="3"/>
      <c r="I1" s="3"/>
      <c r="J1" s="3">
        <v>45527</v>
      </c>
      <c r="K1" s="3"/>
      <c r="L1" s="3"/>
      <c r="M1" s="3">
        <v>45528</v>
      </c>
      <c r="N1" s="3"/>
      <c r="O1" s="3"/>
      <c r="P1" s="3">
        <v>45529</v>
      </c>
      <c r="Q1" s="3"/>
      <c r="R1" s="3"/>
      <c r="S1" s="3">
        <v>45530</v>
      </c>
      <c r="T1" s="3"/>
      <c r="U1" s="3"/>
      <c r="V1" s="3">
        <v>45531</v>
      </c>
      <c r="W1" s="3"/>
      <c r="X1" s="3"/>
      <c r="Y1" s="3">
        <v>45532</v>
      </c>
      <c r="Z1" s="3"/>
      <c r="AA1" s="3"/>
      <c r="AB1" s="3">
        <v>45533</v>
      </c>
      <c r="AC1" s="3"/>
      <c r="AD1" s="3"/>
    </row>
    <row r="2" spans="1:30" x14ac:dyDescent="0.25">
      <c r="A2" s="2">
        <v>385</v>
      </c>
      <c r="B2" s="2" t="s">
        <v>0</v>
      </c>
      <c r="C2" s="4">
        <v>5</v>
      </c>
      <c r="D2" s="2">
        <v>334</v>
      </c>
      <c r="E2" s="2" t="s">
        <v>3</v>
      </c>
      <c r="F2" s="4">
        <v>6.75</v>
      </c>
      <c r="G2" s="2">
        <v>340</v>
      </c>
      <c r="H2" s="2" t="s">
        <v>7</v>
      </c>
      <c r="I2" s="4">
        <v>6.5</v>
      </c>
      <c r="J2" s="2">
        <v>576</v>
      </c>
      <c r="K2" s="2" t="s">
        <v>9</v>
      </c>
      <c r="L2" s="4">
        <v>10</v>
      </c>
      <c r="M2" s="2">
        <v>1180</v>
      </c>
      <c r="N2" s="2" t="s">
        <v>11</v>
      </c>
      <c r="O2" s="4">
        <v>8.5</v>
      </c>
      <c r="P2" s="5">
        <v>778</v>
      </c>
      <c r="Q2" s="5" t="s">
        <v>13</v>
      </c>
      <c r="R2" s="6">
        <v>10</v>
      </c>
      <c r="S2" s="5">
        <v>131</v>
      </c>
      <c r="T2" s="5" t="s">
        <v>14</v>
      </c>
      <c r="U2" s="6">
        <v>3.5</v>
      </c>
      <c r="V2" s="5">
        <v>24068</v>
      </c>
      <c r="W2" s="5" t="s">
        <v>19</v>
      </c>
      <c r="X2" s="6">
        <v>9.5</v>
      </c>
      <c r="Y2" s="5">
        <v>155</v>
      </c>
      <c r="Z2" s="5" t="s">
        <v>20</v>
      </c>
      <c r="AA2" s="6">
        <v>7.5</v>
      </c>
      <c r="AB2" s="5">
        <v>365</v>
      </c>
      <c r="AC2" s="5" t="s">
        <v>21</v>
      </c>
      <c r="AD2" s="6">
        <v>6.75</v>
      </c>
    </row>
    <row r="3" spans="1:30" x14ac:dyDescent="0.25">
      <c r="A3" s="2">
        <v>5785</v>
      </c>
      <c r="B3" s="2" t="s">
        <v>1</v>
      </c>
      <c r="C3" s="4">
        <v>2</v>
      </c>
      <c r="D3" s="2">
        <v>541</v>
      </c>
      <c r="E3" s="2" t="s">
        <v>4</v>
      </c>
      <c r="F3" s="4">
        <v>6</v>
      </c>
      <c r="G3" s="2">
        <v>23944</v>
      </c>
      <c r="H3" s="2" t="s">
        <v>8</v>
      </c>
      <c r="I3" s="4">
        <v>10</v>
      </c>
      <c r="J3" s="2">
        <v>596</v>
      </c>
      <c r="K3" s="2" t="s">
        <v>10</v>
      </c>
      <c r="L3" s="4">
        <v>11</v>
      </c>
      <c r="M3" s="7">
        <v>3929</v>
      </c>
      <c r="N3" s="7" t="s">
        <v>12</v>
      </c>
      <c r="O3" s="8">
        <v>8.5</v>
      </c>
      <c r="P3" s="5"/>
      <c r="Q3" s="5"/>
      <c r="R3" s="6"/>
      <c r="S3" s="5">
        <v>352</v>
      </c>
      <c r="T3" s="5" t="s">
        <v>15</v>
      </c>
      <c r="U3" s="6">
        <v>6.5</v>
      </c>
      <c r="V3" s="5"/>
      <c r="W3" s="5"/>
      <c r="X3" s="6"/>
      <c r="Y3" s="5">
        <v>380145</v>
      </c>
      <c r="Z3" s="5" t="s">
        <v>25</v>
      </c>
      <c r="AA3" s="6">
        <v>2</v>
      </c>
      <c r="AB3" s="5">
        <v>729</v>
      </c>
      <c r="AC3" s="5" t="s">
        <v>22</v>
      </c>
      <c r="AD3" s="6">
        <v>11</v>
      </c>
    </row>
    <row r="4" spans="1:30" x14ac:dyDescent="0.25">
      <c r="A4" s="2">
        <v>514</v>
      </c>
      <c r="B4" s="2" t="s">
        <v>2</v>
      </c>
      <c r="C4" s="4">
        <v>9</v>
      </c>
      <c r="D4" s="2">
        <v>1166</v>
      </c>
      <c r="E4" s="2" t="s">
        <v>5</v>
      </c>
      <c r="F4" s="4">
        <v>6.75</v>
      </c>
      <c r="G4" s="2"/>
      <c r="H4" s="2"/>
      <c r="I4" s="4"/>
      <c r="J4" s="2"/>
      <c r="K4" s="2"/>
      <c r="L4" s="4"/>
      <c r="M4" s="2"/>
      <c r="N4" s="2"/>
      <c r="O4" s="4"/>
      <c r="P4" s="5"/>
      <c r="Q4" s="5"/>
      <c r="R4" s="6"/>
      <c r="S4" s="5">
        <v>24012</v>
      </c>
      <c r="T4" s="5" t="s">
        <v>16</v>
      </c>
      <c r="U4" s="6">
        <v>10</v>
      </c>
      <c r="V4" s="5"/>
      <c r="W4" s="5"/>
      <c r="X4" s="6"/>
      <c r="Y4" s="5"/>
      <c r="Z4" s="5"/>
      <c r="AA4" s="6"/>
      <c r="AB4" s="5">
        <v>171</v>
      </c>
      <c r="AC4" s="5" t="s">
        <v>23</v>
      </c>
      <c r="AD4" s="6">
        <v>6.5</v>
      </c>
    </row>
    <row r="5" spans="1:30" x14ac:dyDescent="0.25">
      <c r="A5" s="1"/>
      <c r="B5" s="1"/>
      <c r="C5" s="1"/>
      <c r="D5" s="5">
        <v>223919</v>
      </c>
      <c r="E5" s="5" t="s">
        <v>6</v>
      </c>
      <c r="F5" s="6">
        <v>1.8</v>
      </c>
      <c r="G5" s="5"/>
      <c r="H5" s="5"/>
      <c r="I5" s="6"/>
      <c r="J5" s="5"/>
      <c r="K5" s="5"/>
      <c r="L5" s="6"/>
      <c r="M5" s="5"/>
      <c r="N5" s="5"/>
      <c r="O5" s="6"/>
      <c r="P5" s="5"/>
      <c r="Q5" s="5"/>
      <c r="R5" s="6"/>
      <c r="S5" s="5">
        <v>379616</v>
      </c>
      <c r="T5" s="5" t="s">
        <v>17</v>
      </c>
      <c r="U5" s="6">
        <v>5.4</v>
      </c>
      <c r="V5" s="5"/>
      <c r="W5" s="5"/>
      <c r="X5" s="6"/>
      <c r="Y5" s="5"/>
      <c r="Z5" s="5"/>
      <c r="AA5" s="6"/>
      <c r="AB5" s="5">
        <v>380258</v>
      </c>
      <c r="AC5" s="5" t="s">
        <v>24</v>
      </c>
      <c r="AD5" s="6">
        <v>2.5</v>
      </c>
    </row>
    <row r="6" spans="1:30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5">
        <v>20301</v>
      </c>
      <c r="T6" s="5" t="s">
        <v>18</v>
      </c>
      <c r="U6" s="6">
        <v>3.75</v>
      </c>
      <c r="V6" s="1"/>
      <c r="W6" s="1"/>
      <c r="X6" s="1"/>
      <c r="Y6" s="1"/>
      <c r="Z6" s="1"/>
      <c r="AA6" s="1"/>
      <c r="AB6" s="1"/>
      <c r="AC6" s="1"/>
      <c r="AD6" s="1"/>
    </row>
    <row r="7" spans="1:30" x14ac:dyDescent="0.25">
      <c r="A7" s="9" t="s">
        <v>26</v>
      </c>
      <c r="B7" s="9"/>
      <c r="C7" s="10">
        <f>SUM(C2:C6)</f>
        <v>16</v>
      </c>
      <c r="D7" s="9"/>
      <c r="E7" s="9"/>
      <c r="F7" s="10">
        <f>SUM(F2:F6)</f>
        <v>21.3</v>
      </c>
      <c r="G7" s="9"/>
      <c r="H7" s="9"/>
      <c r="I7" s="10">
        <f>SUM(I2:I6)</f>
        <v>16.5</v>
      </c>
      <c r="J7" s="9"/>
      <c r="K7" s="9"/>
      <c r="L7" s="10">
        <f>SUM(L2:L6)</f>
        <v>21</v>
      </c>
      <c r="M7" s="9"/>
      <c r="N7" s="9"/>
      <c r="O7" s="10">
        <f>SUM(O2:O6)</f>
        <v>17</v>
      </c>
      <c r="P7" s="9"/>
      <c r="Q7" s="9"/>
      <c r="R7" s="10">
        <f>SUM(R2:R6)</f>
        <v>10</v>
      </c>
      <c r="S7" s="9"/>
      <c r="T7" s="9"/>
      <c r="U7" s="10">
        <f>SUM(U2:U6)</f>
        <v>29.15</v>
      </c>
      <c r="V7" s="9"/>
      <c r="W7" s="9"/>
      <c r="X7" s="10">
        <f>SUM(X2:X6)</f>
        <v>9.5</v>
      </c>
      <c r="Y7" s="9"/>
      <c r="Z7" s="9"/>
      <c r="AA7" s="10">
        <f>SUM(AA2:AA6)</f>
        <v>9.5</v>
      </c>
      <c r="AB7" s="9"/>
      <c r="AC7" s="9"/>
      <c r="AD7" s="10">
        <f>SUM(AD2:AD6)</f>
        <v>26.75</v>
      </c>
    </row>
    <row r="9" spans="1:30" x14ac:dyDescent="0.25">
      <c r="A9" s="1" t="s">
        <v>27</v>
      </c>
      <c r="B9" s="11">
        <f>C7+F7+I7+L7+O7+R7+U7+X7+AA7+AD7</f>
        <v>176.7</v>
      </c>
    </row>
    <row r="10" spans="1:30" x14ac:dyDescent="0.25">
      <c r="A10" s="1" t="s">
        <v>28</v>
      </c>
      <c r="B10" s="1">
        <v>200</v>
      </c>
    </row>
    <row r="11" spans="1:30" x14ac:dyDescent="0.25">
      <c r="A11" s="1" t="s">
        <v>29</v>
      </c>
      <c r="B11" s="1">
        <v>150</v>
      </c>
    </row>
    <row r="12" spans="1:30" x14ac:dyDescent="0.25">
      <c r="A12" s="1"/>
      <c r="B12" s="1"/>
    </row>
    <row r="13" spans="1:30" x14ac:dyDescent="0.25">
      <c r="A13" s="1" t="s">
        <v>26</v>
      </c>
      <c r="B13" s="11">
        <f>SUM(B9:B12)</f>
        <v>526.70000000000005</v>
      </c>
      <c r="D13">
        <f>800*70/100</f>
        <v>560</v>
      </c>
    </row>
    <row r="14" spans="1:30" x14ac:dyDescent="0.25">
      <c r="A14" s="1" t="s">
        <v>30</v>
      </c>
      <c r="B14" s="11">
        <f>D13-B13</f>
        <v>33.299999999999955</v>
      </c>
    </row>
  </sheetData>
  <mergeCells count="10">
    <mergeCell ref="P1:R1"/>
    <mergeCell ref="S1:U1"/>
    <mergeCell ref="V1:X1"/>
    <mergeCell ref="Y1:AA1"/>
    <mergeCell ref="AB1:AD1"/>
    <mergeCell ref="A1:C1"/>
    <mergeCell ref="D1:F1"/>
    <mergeCell ref="G1:I1"/>
    <mergeCell ref="J1:L1"/>
    <mergeCell ref="M1:O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OMAR LLAMBO DELGADO</dc:creator>
  <cp:lastModifiedBy>ANGEL OMAR LLAMBO DELGADO</cp:lastModifiedBy>
  <dcterms:created xsi:type="dcterms:W3CDTF">2024-08-30T02:04:32Z</dcterms:created>
  <dcterms:modified xsi:type="dcterms:W3CDTF">2024-08-30T02:57:41Z</dcterms:modified>
</cp:coreProperties>
</file>